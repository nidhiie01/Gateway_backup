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diInfi\On Cloud\OneDrive - Adiinfi\JC-Brijesh-6cbf\Leads\Zambia-Raymond strover\"/>
    </mc:Choice>
  </mc:AlternateContent>
  <xr:revisionPtr revIDLastSave="0" documentId="13_ncr:1_{4E036565-8C21-45C6-AFCB-24BD1E532D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dbus mapping" sheetId="2" r:id="rId1"/>
    <sheet name="Fault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2" l="1"/>
  <c r="H7" i="2" s="1"/>
  <c r="G10" i="2"/>
  <c r="H10" i="2" s="1"/>
  <c r="G6" i="2"/>
  <c r="H6" i="2" s="1"/>
  <c r="G8" i="2"/>
  <c r="H8" i="2" s="1"/>
  <c r="G9" i="2"/>
  <c r="H9" i="2" s="1"/>
  <c r="E6" i="2"/>
  <c r="F6" i="2" s="1"/>
  <c r="E7" i="2"/>
  <c r="F7" i="2" s="1"/>
  <c r="E8" i="2"/>
  <c r="F8" i="2" s="1"/>
  <c r="E9" i="2"/>
  <c r="F9" i="2" s="1"/>
  <c r="E10" i="2"/>
  <c r="F10" i="2" s="1"/>
  <c r="G5" i="2"/>
  <c r="H5" i="2" s="1"/>
  <c r="E5" i="2"/>
  <c r="F5" i="2" s="1"/>
  <c r="C19" i="1"/>
  <c r="C20" i="1"/>
  <c r="C21" i="1"/>
  <c r="C22" i="1"/>
  <c r="C12" i="1"/>
  <c r="C4" i="1"/>
  <c r="C5" i="1"/>
  <c r="C6" i="1"/>
  <c r="C7" i="1"/>
  <c r="C8" i="1"/>
  <c r="C9" i="1"/>
  <c r="C10" i="1"/>
  <c r="C11" i="1"/>
  <c r="C13" i="1"/>
  <c r="C14" i="1"/>
  <c r="C15" i="1"/>
  <c r="C16" i="1"/>
  <c r="C17" i="1"/>
  <c r="C3" i="1"/>
</calcChain>
</file>

<file path=xl/sharedStrings.xml><?xml version="1.0" encoding="utf-8"?>
<sst xmlns="http://schemas.openxmlformats.org/spreadsheetml/2006/main" count="89" uniqueCount="76">
  <si>
    <t>Fault Code</t>
  </si>
  <si>
    <t>Fault Name</t>
  </si>
  <si>
    <t>Description</t>
  </si>
  <si>
    <t>Current Calibration</t>
  </si>
  <si>
    <t>Drive current measurement calibration issue</t>
  </si>
  <si>
    <t>Overcurrent</t>
  </si>
  <si>
    <t>Motor current exceeded drive limit</t>
  </si>
  <si>
    <t>Earth Leakage</t>
  </si>
  <si>
    <t>Ground fault detected</t>
  </si>
  <si>
    <t>Short Circuit</t>
  </si>
  <si>
    <t>Output short circuit detected</t>
  </si>
  <si>
    <t>Input Phase Loss</t>
  </si>
  <si>
    <t>Missing input supply phase</t>
  </si>
  <si>
    <t>Wiring / Earth Fault</t>
  </si>
  <si>
    <t>Incorrect motor or grounding wiring</t>
  </si>
  <si>
    <t>DC Link Overvoltage</t>
  </si>
  <si>
    <t>DC bus voltage too high</t>
  </si>
  <si>
    <t>DC Link Undervoltage</t>
  </si>
  <si>
    <t>DC bus voltage too low</t>
  </si>
  <si>
    <t>Cooling Fan Fault</t>
  </si>
  <si>
    <t>Cooling fan feedback missing</t>
  </si>
  <si>
    <t>80A0</t>
  </si>
  <si>
    <t>AI Supervision</t>
  </si>
  <si>
    <t>Analog input signal supervision fault</t>
  </si>
  <si>
    <t>80B0</t>
  </si>
  <si>
    <t>Signal Supervision 1</t>
  </si>
  <si>
    <t>Configured signal monitoring fault</t>
  </si>
  <si>
    <t>80B1</t>
  </si>
  <si>
    <t>Signal Supervision 2</t>
  </si>
  <si>
    <t>80B2</t>
  </si>
  <si>
    <t>Signal Supervision 3</t>
  </si>
  <si>
    <t>External Fault 1</t>
  </si>
  <si>
    <t>External trip from PLC/interlock</t>
  </si>
  <si>
    <t>External Fault 2</t>
  </si>
  <si>
    <t>Fault Code(Decimal)</t>
  </si>
  <si>
    <t>Fault Code(Hex)</t>
  </si>
  <si>
    <t>Excess temperature</t>
  </si>
  <si>
    <t>Cooling fan stuck or disconnected.</t>
  </si>
  <si>
    <t>50A0</t>
  </si>
  <si>
    <t>Motor stall</t>
  </si>
  <si>
    <t>Overspeed</t>
  </si>
  <si>
    <t>Configured condition from Drive's composer software</t>
  </si>
  <si>
    <t>Start/Stop Command</t>
  </si>
  <si>
    <t>Pump Status</t>
  </si>
  <si>
    <t>Actual Speed Feedback</t>
  </si>
  <si>
    <t>Motor Current</t>
  </si>
  <si>
    <t>Pump Pressure</t>
  </si>
  <si>
    <t>16bit</t>
  </si>
  <si>
    <t>32bit</t>
  </si>
  <si>
    <t>Group</t>
  </si>
  <si>
    <t>Index</t>
  </si>
  <si>
    <t>Commands</t>
  </si>
  <si>
    <t>AQAD203x_en.pdf</t>
  </si>
  <si>
    <t>Page: 307</t>
  </si>
  <si>
    <t>Data type</t>
  </si>
  <si>
    <t>Unit</t>
  </si>
  <si>
    <t>Range</t>
  </si>
  <si>
    <t>Real</t>
  </si>
  <si>
    <t>Modus mode</t>
  </si>
  <si>
    <t>32bit Address</t>
  </si>
  <si>
    <t>16bit Address</t>
  </si>
  <si>
    <t xml:space="preserve">16 bit Starting offset: </t>
  </si>
  <si>
    <t>32 bit Starting offset:</t>
  </si>
  <si>
    <t>Ready</t>
  </si>
  <si>
    <t>Status code</t>
  </si>
  <si>
    <t>Running</t>
  </si>
  <si>
    <t>Page 402</t>
  </si>
  <si>
    <t>Tripped/Fault</t>
  </si>
  <si>
    <t>Page 401</t>
  </si>
  <si>
    <t>value &amp; 0x01 == 1</t>
  </si>
  <si>
    <t>value &amp; 0x08 == 1</t>
  </si>
  <si>
    <t>Start stop pump</t>
  </si>
  <si>
    <t>?</t>
  </si>
  <si>
    <t>Start</t>
  </si>
  <si>
    <t>Stop</t>
  </si>
  <si>
    <t>This will be mainly because of sensor pressure connected externally to drive. In our case it is pressure transducer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</si>
</sst>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QAD203x_en.pdf" TargetMode="External"/><Relationship Id="rId2" Type="http://schemas.openxmlformats.org/officeDocument/2006/relationships/hyperlink" Target="AQAD203x_en.pdf" TargetMode="External"/><Relationship Id="rId1" Type="http://schemas.openxmlformats.org/officeDocument/2006/relationships/hyperlink" Target="AQAD203x_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5"/>
  <sheetViews>
    <sheetView tabSelected="1" topLeftCell="B1" zoomScale="175" zoomScaleNormal="175" workbookViewId="0">
      <selection activeCell="B5" sqref="B5"/>
    </sheetView>
  </sheetViews>
  <sheetFormatPr defaultRowHeight="14.4" x14ac:dyDescent="0.3"/>
  <cols>
    <col min="2" max="2" width="26.44140625" bestFit="1" customWidth="1"/>
    <col min="3" max="3" width="7" bestFit="1" customWidth="1"/>
    <col min="4" max="4" width="6" bestFit="1" customWidth="1"/>
    <col min="5" max="5" width="5.44140625" bestFit="1" customWidth="1"/>
    <col min="6" max="6" width="13.109375" style="1" bestFit="1" customWidth="1"/>
    <col min="7" max="7" width="6" style="1" bestFit="1" customWidth="1"/>
    <col min="8" max="8" width="13.109375" style="1" bestFit="1" customWidth="1"/>
    <col min="9" max="9" width="9.44140625" bestFit="1" customWidth="1"/>
    <col min="10" max="10" width="4.88671875" bestFit="1" customWidth="1"/>
    <col min="11" max="11" width="6.44140625" bestFit="1" customWidth="1"/>
    <col min="13" max="13" width="17.44140625" bestFit="1" customWidth="1"/>
    <col min="14" max="14" width="13.33203125" bestFit="1" customWidth="1"/>
  </cols>
  <sheetData>
    <row r="1" spans="2:14" x14ac:dyDescent="0.3">
      <c r="B1" t="s">
        <v>61</v>
      </c>
      <c r="C1">
        <v>400000</v>
      </c>
    </row>
    <row r="2" spans="2:14" x14ac:dyDescent="0.3">
      <c r="B2" t="s">
        <v>62</v>
      </c>
      <c r="C2">
        <v>420000</v>
      </c>
    </row>
    <row r="3" spans="2:14" x14ac:dyDescent="0.3">
      <c r="E3" s="12" t="s">
        <v>58</v>
      </c>
      <c r="F3" s="12"/>
      <c r="G3" s="12"/>
      <c r="H3" s="12"/>
    </row>
    <row r="4" spans="2:14" x14ac:dyDescent="0.3">
      <c r="B4" s="3" t="s">
        <v>51</v>
      </c>
      <c r="C4" s="3" t="s">
        <v>49</v>
      </c>
      <c r="D4" s="3" t="s">
        <v>50</v>
      </c>
      <c r="E4" s="3" t="s">
        <v>47</v>
      </c>
      <c r="F4" s="3" t="s">
        <v>60</v>
      </c>
      <c r="G4" s="3" t="s">
        <v>48</v>
      </c>
      <c r="H4" s="3" t="s">
        <v>59</v>
      </c>
      <c r="I4" s="3" t="s">
        <v>54</v>
      </c>
      <c r="J4" s="3" t="s">
        <v>55</v>
      </c>
      <c r="K4" s="3" t="s">
        <v>56</v>
      </c>
    </row>
    <row r="5" spans="2:14" x14ac:dyDescent="0.3">
      <c r="B5" t="s">
        <v>42</v>
      </c>
      <c r="C5">
        <v>1</v>
      </c>
      <c r="D5">
        <v>6</v>
      </c>
      <c r="E5" s="1">
        <f t="shared" ref="E5:E10" si="0">C5*100+D5</f>
        <v>106</v>
      </c>
      <c r="F5" s="1">
        <f>E5+$C$1</f>
        <v>400106</v>
      </c>
      <c r="G5" s="1">
        <f t="shared" ref="G5:G10" si="1">(C5*200) +(D5*2)</f>
        <v>212</v>
      </c>
      <c r="H5" s="1">
        <f>G5+$C$2</f>
        <v>420212</v>
      </c>
      <c r="I5" t="s">
        <v>57</v>
      </c>
    </row>
    <row r="6" spans="2:14" x14ac:dyDescent="0.3">
      <c r="B6" t="s">
        <v>43</v>
      </c>
      <c r="C6">
        <v>6</v>
      </c>
      <c r="D6">
        <v>11</v>
      </c>
      <c r="E6" s="1">
        <f t="shared" si="0"/>
        <v>611</v>
      </c>
      <c r="F6" s="1">
        <f t="shared" ref="F6:F10" si="2">E6+$C$1</f>
        <v>400611</v>
      </c>
      <c r="G6" s="1">
        <f t="shared" si="1"/>
        <v>1222</v>
      </c>
      <c r="H6" s="1">
        <f t="shared" ref="H6:H10" si="3">G6+$C$2</f>
        <v>421222</v>
      </c>
      <c r="I6" t="s">
        <v>57</v>
      </c>
    </row>
    <row r="7" spans="2:14" x14ac:dyDescent="0.3">
      <c r="B7" t="s">
        <v>44</v>
      </c>
      <c r="C7">
        <v>1</v>
      </c>
      <c r="D7">
        <v>2</v>
      </c>
      <c r="E7" s="1">
        <f t="shared" si="0"/>
        <v>102</v>
      </c>
      <c r="F7" s="1">
        <f t="shared" si="2"/>
        <v>400102</v>
      </c>
      <c r="G7" s="1">
        <f>(C7*200) +(D7*2)</f>
        <v>204</v>
      </c>
      <c r="H7" s="1">
        <f t="shared" si="3"/>
        <v>420204</v>
      </c>
      <c r="I7" t="s">
        <v>57</v>
      </c>
    </row>
    <row r="8" spans="2:14" x14ac:dyDescent="0.3">
      <c r="B8" t="s">
        <v>45</v>
      </c>
      <c r="C8">
        <v>1</v>
      </c>
      <c r="D8">
        <v>7</v>
      </c>
      <c r="E8" s="1">
        <f t="shared" si="0"/>
        <v>107</v>
      </c>
      <c r="F8" s="1">
        <f t="shared" si="2"/>
        <v>400107</v>
      </c>
      <c r="G8" s="1">
        <f t="shared" si="1"/>
        <v>214</v>
      </c>
      <c r="H8" s="1">
        <f t="shared" si="3"/>
        <v>420214</v>
      </c>
      <c r="I8" t="s">
        <v>57</v>
      </c>
    </row>
    <row r="9" spans="2:14" x14ac:dyDescent="0.3">
      <c r="B9" t="s">
        <v>0</v>
      </c>
      <c r="C9">
        <v>4</v>
      </c>
      <c r="D9">
        <v>11</v>
      </c>
      <c r="E9" s="1">
        <f t="shared" si="0"/>
        <v>411</v>
      </c>
      <c r="F9" s="1">
        <f t="shared" si="2"/>
        <v>400411</v>
      </c>
      <c r="G9" s="1">
        <f t="shared" si="1"/>
        <v>822</v>
      </c>
      <c r="H9" s="1">
        <f t="shared" si="3"/>
        <v>420822</v>
      </c>
      <c r="I9" t="s">
        <v>57</v>
      </c>
    </row>
    <row r="10" spans="2:14" x14ac:dyDescent="0.3">
      <c r="B10" t="s">
        <v>46</v>
      </c>
      <c r="C10">
        <v>81</v>
      </c>
      <c r="D10">
        <v>2</v>
      </c>
      <c r="E10" s="1">
        <f t="shared" si="0"/>
        <v>8102</v>
      </c>
      <c r="F10" s="1">
        <f t="shared" si="2"/>
        <v>408102</v>
      </c>
      <c r="G10" s="1">
        <f t="shared" si="1"/>
        <v>16204</v>
      </c>
      <c r="H10" s="1">
        <f t="shared" si="3"/>
        <v>436204</v>
      </c>
      <c r="I10" t="s">
        <v>57</v>
      </c>
      <c r="M10" s="2" t="s">
        <v>52</v>
      </c>
    </row>
    <row r="11" spans="2:14" x14ac:dyDescent="0.3">
      <c r="M11" t="s">
        <v>53</v>
      </c>
    </row>
    <row r="15" spans="2:14" x14ac:dyDescent="0.3">
      <c r="M15" s="2" t="s">
        <v>52</v>
      </c>
      <c r="N15" t="s">
        <v>66</v>
      </c>
    </row>
    <row r="16" spans="2:14" x14ac:dyDescent="0.3">
      <c r="M16" t="s">
        <v>64</v>
      </c>
    </row>
    <row r="17" spans="13:14" x14ac:dyDescent="0.3">
      <c r="M17" s="1" t="s">
        <v>69</v>
      </c>
      <c r="N17" s="1" t="s">
        <v>63</v>
      </c>
    </row>
    <row r="18" spans="13:14" x14ac:dyDescent="0.3">
      <c r="M18" s="1"/>
      <c r="N18" s="4" t="s">
        <v>65</v>
      </c>
    </row>
    <row r="19" spans="13:14" x14ac:dyDescent="0.3">
      <c r="M19" s="1" t="s">
        <v>70</v>
      </c>
      <c r="N19" s="1" t="s">
        <v>67</v>
      </c>
    </row>
    <row r="20" spans="13:14" x14ac:dyDescent="0.3">
      <c r="M20" s="1"/>
      <c r="N20" s="1"/>
    </row>
    <row r="22" spans="13:14" x14ac:dyDescent="0.3">
      <c r="M22" s="2" t="s">
        <v>52</v>
      </c>
      <c r="N22" t="s">
        <v>68</v>
      </c>
    </row>
    <row r="23" spans="13:14" x14ac:dyDescent="0.3">
      <c r="M23" t="s">
        <v>71</v>
      </c>
    </row>
    <row r="24" spans="13:14" x14ac:dyDescent="0.3">
      <c r="M24" s="1" t="s">
        <v>73</v>
      </c>
      <c r="N24" s="4" t="s">
        <v>72</v>
      </c>
    </row>
    <row r="25" spans="13:14" x14ac:dyDescent="0.3">
      <c r="M25" s="1" t="s">
        <v>74</v>
      </c>
      <c r="N25" s="4" t="s">
        <v>72</v>
      </c>
    </row>
  </sheetData>
  <mergeCells count="1">
    <mergeCell ref="E3:H3"/>
  </mergeCells>
  <hyperlinks>
    <hyperlink ref="M10" r:id="rId1" xr:uid="{00000000-0004-0000-0000-000000000000}"/>
    <hyperlink ref="M15" r:id="rId2" xr:uid="{00000000-0004-0000-0000-000001000000}"/>
    <hyperlink ref="M22" r:id="rId3" xr:uid="{00000000-0004-0000-0000-000002000000}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2"/>
  <sheetViews>
    <sheetView topLeftCell="A10" zoomScale="175" zoomScaleNormal="175" workbookViewId="0">
      <selection activeCell="C22" sqref="C22"/>
    </sheetView>
  </sheetViews>
  <sheetFormatPr defaultRowHeight="14.4" x14ac:dyDescent="0.3"/>
  <cols>
    <col min="2" max="2" width="15.44140625" bestFit="1" customWidth="1"/>
    <col min="3" max="3" width="19.33203125" bestFit="1" customWidth="1"/>
    <col min="4" max="4" width="31.88671875" bestFit="1" customWidth="1"/>
    <col min="5" max="5" width="41.33203125" style="11" bestFit="1" customWidth="1"/>
    <col min="6" max="6" width="42.44140625" style="11" customWidth="1"/>
    <col min="7" max="7" width="31.88671875" bestFit="1" customWidth="1"/>
    <col min="8" max="8" width="41.33203125" bestFit="1" customWidth="1"/>
  </cols>
  <sheetData>
    <row r="2" spans="2:6" x14ac:dyDescent="0.3">
      <c r="B2" s="5" t="s">
        <v>35</v>
      </c>
      <c r="C2" s="5" t="s">
        <v>34</v>
      </c>
      <c r="D2" s="6" t="s">
        <v>1</v>
      </c>
      <c r="E2" s="9" t="s">
        <v>2</v>
      </c>
      <c r="F2" s="9"/>
    </row>
    <row r="3" spans="2:6" x14ac:dyDescent="0.3">
      <c r="B3" s="8">
        <v>2281</v>
      </c>
      <c r="C3" s="8">
        <f>HEX2DEC(B3)</f>
        <v>8833</v>
      </c>
      <c r="D3" s="7" t="s">
        <v>3</v>
      </c>
      <c r="E3" s="10" t="s">
        <v>4</v>
      </c>
      <c r="F3" s="10"/>
    </row>
    <row r="4" spans="2:6" x14ac:dyDescent="0.3">
      <c r="B4" s="8">
        <v>2310</v>
      </c>
      <c r="C4" s="8">
        <f t="shared" ref="C4:C22" si="0">HEX2DEC(B4)</f>
        <v>8976</v>
      </c>
      <c r="D4" s="7" t="s">
        <v>5</v>
      </c>
      <c r="E4" s="10" t="s">
        <v>6</v>
      </c>
      <c r="F4" s="10"/>
    </row>
    <row r="5" spans="2:6" x14ac:dyDescent="0.3">
      <c r="B5" s="8">
        <v>2330</v>
      </c>
      <c r="C5" s="8">
        <f t="shared" si="0"/>
        <v>9008</v>
      </c>
      <c r="D5" s="7" t="s">
        <v>7</v>
      </c>
      <c r="E5" s="10" t="s">
        <v>8</v>
      </c>
      <c r="F5" s="10"/>
    </row>
    <row r="6" spans="2:6" x14ac:dyDescent="0.3">
      <c r="B6" s="8">
        <v>2340</v>
      </c>
      <c r="C6" s="8">
        <f t="shared" si="0"/>
        <v>9024</v>
      </c>
      <c r="D6" s="7" t="s">
        <v>9</v>
      </c>
      <c r="E6" s="10" t="s">
        <v>10</v>
      </c>
      <c r="F6" s="10"/>
    </row>
    <row r="7" spans="2:6" x14ac:dyDescent="0.3">
      <c r="B7" s="8">
        <v>3130</v>
      </c>
      <c r="C7" s="8">
        <f t="shared" si="0"/>
        <v>12592</v>
      </c>
      <c r="D7" s="7" t="s">
        <v>11</v>
      </c>
      <c r="E7" s="10" t="s">
        <v>12</v>
      </c>
      <c r="F7" s="10"/>
    </row>
    <row r="8" spans="2:6" x14ac:dyDescent="0.3">
      <c r="B8" s="8">
        <v>3181</v>
      </c>
      <c r="C8" s="8">
        <f t="shared" si="0"/>
        <v>12673</v>
      </c>
      <c r="D8" s="7" t="s">
        <v>13</v>
      </c>
      <c r="E8" s="10" t="s">
        <v>14</v>
      </c>
      <c r="F8" s="10"/>
    </row>
    <row r="9" spans="2:6" x14ac:dyDescent="0.3">
      <c r="B9" s="8">
        <v>3210</v>
      </c>
      <c r="C9" s="8">
        <f t="shared" si="0"/>
        <v>12816</v>
      </c>
      <c r="D9" s="7" t="s">
        <v>15</v>
      </c>
      <c r="E9" s="10" t="s">
        <v>16</v>
      </c>
      <c r="F9" s="10"/>
    </row>
    <row r="10" spans="2:6" x14ac:dyDescent="0.3">
      <c r="B10" s="8">
        <v>3220</v>
      </c>
      <c r="C10" s="8">
        <f t="shared" si="0"/>
        <v>12832</v>
      </c>
      <c r="D10" s="7" t="s">
        <v>17</v>
      </c>
      <c r="E10" s="10" t="s">
        <v>18</v>
      </c>
      <c r="F10" s="10"/>
    </row>
    <row r="11" spans="2:6" x14ac:dyDescent="0.3">
      <c r="B11" s="8">
        <v>5080</v>
      </c>
      <c r="C11" s="8">
        <f t="shared" si="0"/>
        <v>20608</v>
      </c>
      <c r="D11" s="7" t="s">
        <v>19</v>
      </c>
      <c r="E11" s="10" t="s">
        <v>20</v>
      </c>
      <c r="F11" s="10"/>
    </row>
    <row r="12" spans="2:6" ht="43.2" x14ac:dyDescent="0.3">
      <c r="B12" s="8" t="s">
        <v>21</v>
      </c>
      <c r="C12" s="8">
        <f t="shared" si="0"/>
        <v>32928</v>
      </c>
      <c r="D12" s="7" t="s">
        <v>22</v>
      </c>
      <c r="E12" s="10" t="s">
        <v>23</v>
      </c>
      <c r="F12" s="10" t="s">
        <v>75</v>
      </c>
    </row>
    <row r="13" spans="2:6" ht="28.8" x14ac:dyDescent="0.3">
      <c r="B13" s="8" t="s">
        <v>24</v>
      </c>
      <c r="C13" s="8">
        <f t="shared" si="0"/>
        <v>32944</v>
      </c>
      <c r="D13" s="7" t="s">
        <v>25</v>
      </c>
      <c r="E13" s="10" t="s">
        <v>26</v>
      </c>
      <c r="F13" s="10" t="s">
        <v>41</v>
      </c>
    </row>
    <row r="14" spans="2:6" ht="28.8" x14ac:dyDescent="0.3">
      <c r="B14" s="8" t="s">
        <v>27</v>
      </c>
      <c r="C14" s="8">
        <f t="shared" si="0"/>
        <v>32945</v>
      </c>
      <c r="D14" s="7" t="s">
        <v>28</v>
      </c>
      <c r="E14" s="10" t="s">
        <v>26</v>
      </c>
      <c r="F14" s="10" t="s">
        <v>41</v>
      </c>
    </row>
    <row r="15" spans="2:6" ht="28.8" x14ac:dyDescent="0.3">
      <c r="B15" s="8" t="s">
        <v>29</v>
      </c>
      <c r="C15" s="8">
        <f t="shared" si="0"/>
        <v>32946</v>
      </c>
      <c r="D15" s="7" t="s">
        <v>30</v>
      </c>
      <c r="E15" s="10" t="s">
        <v>26</v>
      </c>
      <c r="F15" s="10" t="s">
        <v>41</v>
      </c>
    </row>
    <row r="16" spans="2:6" x14ac:dyDescent="0.3">
      <c r="B16" s="8">
        <v>9081</v>
      </c>
      <c r="C16" s="8">
        <f t="shared" si="0"/>
        <v>36993</v>
      </c>
      <c r="D16" s="7" t="s">
        <v>31</v>
      </c>
      <c r="E16" s="10" t="s">
        <v>32</v>
      </c>
      <c r="F16" s="10"/>
    </row>
    <row r="17" spans="2:6" x14ac:dyDescent="0.3">
      <c r="B17" s="8">
        <v>9082</v>
      </c>
      <c r="C17" s="8">
        <f t="shared" si="0"/>
        <v>36994</v>
      </c>
      <c r="D17" s="7" t="s">
        <v>33</v>
      </c>
      <c r="E17" s="10" t="s">
        <v>32</v>
      </c>
      <c r="F17" s="10"/>
    </row>
    <row r="18" spans="2:6" x14ac:dyDescent="0.3">
      <c r="B18" s="8"/>
      <c r="C18" s="8"/>
      <c r="D18" s="7"/>
      <c r="E18" s="10"/>
      <c r="F18" s="10"/>
    </row>
    <row r="19" spans="2:6" x14ac:dyDescent="0.3">
      <c r="B19" s="8">
        <v>4310</v>
      </c>
      <c r="C19" s="8">
        <f t="shared" si="0"/>
        <v>17168</v>
      </c>
      <c r="D19" s="7" t="s">
        <v>36</v>
      </c>
      <c r="E19" s="10"/>
      <c r="F19" s="10"/>
    </row>
    <row r="20" spans="2:6" x14ac:dyDescent="0.3">
      <c r="B20" s="8" t="s">
        <v>38</v>
      </c>
      <c r="C20" s="8">
        <f t="shared" si="0"/>
        <v>20640</v>
      </c>
      <c r="D20" s="7" t="s">
        <v>37</v>
      </c>
      <c r="E20" s="10"/>
      <c r="F20" s="10"/>
    </row>
    <row r="21" spans="2:6" x14ac:dyDescent="0.3">
      <c r="B21" s="8">
        <v>7121</v>
      </c>
      <c r="C21" s="8">
        <f t="shared" si="0"/>
        <v>28961</v>
      </c>
      <c r="D21" s="7" t="s">
        <v>39</v>
      </c>
      <c r="E21" s="10"/>
      <c r="F21" s="10"/>
    </row>
    <row r="22" spans="2:6" x14ac:dyDescent="0.3">
      <c r="B22" s="8">
        <v>7310</v>
      </c>
      <c r="C22" s="8">
        <f t="shared" si="0"/>
        <v>29456</v>
      </c>
      <c r="D22" s="7" t="s">
        <v>40</v>
      </c>
      <c r="E22" s="10"/>
      <c r="F2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Modbus mapping</vt:lpstr>
      <vt:lpstr>Faults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brijesh chodavadiya</cp:lastModifiedBy>
  <dcterms:created xsi:type="dcterms:W3CDTF">2026-05-24T07:07:25Z</dcterms:created>
  <dcterms:modified xsi:type="dcterms:W3CDTF">2026-06-02T06:40:04Z</dcterms:modified>
</cp:coreProperties>
</file>