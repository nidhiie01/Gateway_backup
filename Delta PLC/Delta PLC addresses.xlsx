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iInfi\Projects\HMI Keith\"/>
    </mc:Choice>
  </mc:AlternateContent>
  <xr:revisionPtr revIDLastSave="0" documentId="13_ncr:1_{480704E2-F15F-477F-8F83-A7632A9C1095}" xr6:coauthVersionLast="47" xr6:coauthVersionMax="47" xr10:uidLastSave="{00000000-0000-0000-0000-000000000000}"/>
  <bookViews>
    <workbookView xWindow="-108" yWindow="-108" windowWidth="23256" windowHeight="12456" xr2:uid="{B04373C3-6EF1-442D-AA9B-F0257C0E7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G18" i="1" s="1"/>
  <c r="F13" i="1"/>
  <c r="F14" i="1"/>
  <c r="F15" i="1"/>
  <c r="G15" i="1" s="1"/>
  <c r="F16" i="1"/>
  <c r="F17" i="1"/>
  <c r="F22" i="1"/>
  <c r="F23" i="1"/>
  <c r="F24" i="1"/>
  <c r="F12" i="1"/>
  <c r="G14" i="1" s="1"/>
  <c r="N12" i="1"/>
  <c r="N11" i="1"/>
  <c r="G23" i="1"/>
  <c r="N10" i="1"/>
  <c r="H6" i="1"/>
  <c r="G12" i="1" l="1"/>
  <c r="G17" i="1"/>
  <c r="G13" i="1"/>
  <c r="G16" i="1" l="1"/>
  <c r="G24" i="1"/>
</calcChain>
</file>

<file path=xl/sharedStrings.xml><?xml version="1.0" encoding="utf-8"?>
<sst xmlns="http://schemas.openxmlformats.org/spreadsheetml/2006/main" count="28" uniqueCount="26">
  <si>
    <t>D address</t>
  </si>
  <si>
    <t>Modbus</t>
  </si>
  <si>
    <t>We need</t>
  </si>
  <si>
    <t>Coil</t>
  </si>
  <si>
    <t>M</t>
  </si>
  <si>
    <t>Temp Type C/F</t>
  </si>
  <si>
    <t>C is 1</t>
  </si>
  <si>
    <t>{PLC}1@D475</t>
  </si>
  <si>
    <t>Read Holding Reg</t>
  </si>
  <si>
    <t>read coil</t>
  </si>
  <si>
    <t>History buffer Temp data</t>
  </si>
  <si>
    <t>{PLC}1@D3007</t>
  </si>
  <si>
    <t>Internal for Pickup</t>
  </si>
  <si>
    <t>Pickup</t>
  </si>
  <si>
    <t>Relay-1</t>
  </si>
  <si>
    <t>Relay-2</t>
  </si>
  <si>
    <t>{PLC}1@D408</t>
  </si>
  <si>
    <t>Read frequency</t>
  </si>
  <si>
    <t>Temp 1 Max scale</t>
  </si>
  <si>
    <t>{PLC}1@D483</t>
  </si>
  <si>
    <t>{PLC}1@D484</t>
  </si>
  <si>
    <t>Temp 1 Min scale</t>
  </si>
  <si>
    <t>{PLC}1@D479</t>
  </si>
  <si>
    <t>Temp 1 Deadband</t>
  </si>
  <si>
    <t>{PLC}1@D474</t>
  </si>
  <si>
    <t>Temp 1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</si>
</sst>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2C69-DC64-4996-8711-B2A599C6216E}">
  <dimension ref="C5:O24"/>
  <sheetViews>
    <sheetView tabSelected="1" workbookViewId="0">
      <selection activeCell="I21" sqref="I21"/>
    </sheetView>
  </sheetViews>
  <sheetFormatPr defaultRowHeight="14.4" x14ac:dyDescent="0.3"/>
  <cols>
    <col min="3" max="3" width="21.6640625" bestFit="1" customWidth="1"/>
    <col min="4" max="4" width="13.44140625" bestFit="1" customWidth="1"/>
  </cols>
  <sheetData>
    <row r="5" spans="3:15" x14ac:dyDescent="0.3">
      <c r="E5" t="s">
        <v>0</v>
      </c>
      <c r="F5">
        <v>2816</v>
      </c>
      <c r="G5">
        <v>3071</v>
      </c>
    </row>
    <row r="6" spans="3:15" x14ac:dyDescent="0.3">
      <c r="E6" t="s">
        <v>1</v>
      </c>
      <c r="F6">
        <v>6912</v>
      </c>
      <c r="G6">
        <v>7167</v>
      </c>
      <c r="H6">
        <f>G6-F6</f>
        <v>255</v>
      </c>
    </row>
    <row r="8" spans="3:15" x14ac:dyDescent="0.3">
      <c r="L8" t="s">
        <v>3</v>
      </c>
      <c r="M8" t="s">
        <v>4</v>
      </c>
      <c r="N8" t="s">
        <v>9</v>
      </c>
    </row>
    <row r="9" spans="3:15" x14ac:dyDescent="0.3">
      <c r="E9" t="s">
        <v>0</v>
      </c>
      <c r="F9" t="s">
        <v>1</v>
      </c>
      <c r="G9" t="s">
        <v>8</v>
      </c>
      <c r="M9">
        <v>0</v>
      </c>
      <c r="N9">
        <v>2049</v>
      </c>
    </row>
    <row r="10" spans="3:15" x14ac:dyDescent="0.3">
      <c r="D10" t="s">
        <v>2</v>
      </c>
      <c r="E10">
        <v>0</v>
      </c>
      <c r="F10">
        <v>404097</v>
      </c>
      <c r="K10" t="s">
        <v>5</v>
      </c>
      <c r="M10">
        <v>512</v>
      </c>
      <c r="N10">
        <f>N9+M10</f>
        <v>2561</v>
      </c>
      <c r="O10" t="s">
        <v>6</v>
      </c>
    </row>
    <row r="11" spans="3:15" x14ac:dyDescent="0.3">
      <c r="K11" t="s">
        <v>14</v>
      </c>
      <c r="M11">
        <v>10</v>
      </c>
      <c r="N11">
        <f>N$9+M11</f>
        <v>2059</v>
      </c>
    </row>
    <row r="12" spans="3:15" x14ac:dyDescent="0.3">
      <c r="D12" t="s">
        <v>7</v>
      </c>
      <c r="E12">
        <v>475</v>
      </c>
      <c r="F12">
        <f>F$10+E12</f>
        <v>404572</v>
      </c>
      <c r="G12">
        <f>F12-400000</f>
        <v>4572</v>
      </c>
      <c r="K12" t="s">
        <v>15</v>
      </c>
      <c r="M12">
        <v>11</v>
      </c>
      <c r="N12">
        <f>N$9+M12</f>
        <v>2060</v>
      </c>
    </row>
    <row r="13" spans="3:15" x14ac:dyDescent="0.3">
      <c r="C13" t="s">
        <v>10</v>
      </c>
      <c r="D13" t="s">
        <v>11</v>
      </c>
      <c r="E13">
        <v>3007</v>
      </c>
      <c r="F13">
        <f t="shared" ref="F13:F24" si="0">F$10+E13</f>
        <v>407104</v>
      </c>
      <c r="G13">
        <f t="shared" ref="G13:G24" si="1">F13-400000</f>
        <v>7104</v>
      </c>
    </row>
    <row r="14" spans="3:15" x14ac:dyDescent="0.3">
      <c r="C14" t="s">
        <v>17</v>
      </c>
      <c r="D14" t="s">
        <v>16</v>
      </c>
      <c r="E14">
        <v>408</v>
      </c>
      <c r="F14">
        <f t="shared" si="0"/>
        <v>404505</v>
      </c>
      <c r="G14">
        <f t="shared" si="1"/>
        <v>4505</v>
      </c>
      <c r="H14">
        <v>404097</v>
      </c>
      <c r="I14">
        <v>40000</v>
      </c>
    </row>
    <row r="15" spans="3:15" x14ac:dyDescent="0.3">
      <c r="C15" t="s">
        <v>18</v>
      </c>
      <c r="D15" t="s">
        <v>19</v>
      </c>
      <c r="E15">
        <v>483</v>
      </c>
      <c r="F15">
        <f t="shared" si="0"/>
        <v>404580</v>
      </c>
      <c r="G15">
        <f t="shared" si="1"/>
        <v>4580</v>
      </c>
    </row>
    <row r="16" spans="3:15" x14ac:dyDescent="0.3">
      <c r="C16" t="s">
        <v>21</v>
      </c>
      <c r="D16" t="s">
        <v>20</v>
      </c>
      <c r="E16">
        <v>484</v>
      </c>
      <c r="F16">
        <f t="shared" si="0"/>
        <v>404581</v>
      </c>
      <c r="G16">
        <f t="shared" si="1"/>
        <v>4581</v>
      </c>
    </row>
    <row r="17" spans="3:7" x14ac:dyDescent="0.3">
      <c r="C17" t="s">
        <v>23</v>
      </c>
      <c r="D17" t="s">
        <v>22</v>
      </c>
      <c r="E17">
        <v>479</v>
      </c>
      <c r="F17">
        <f t="shared" si="0"/>
        <v>404576</v>
      </c>
      <c r="G17">
        <f t="shared" si="1"/>
        <v>4576</v>
      </c>
    </row>
    <row r="18" spans="3:7" x14ac:dyDescent="0.3">
      <c r="C18" t="s">
        <v>25</v>
      </c>
      <c r="D18" t="s">
        <v>24</v>
      </c>
      <c r="E18">
        <v>474</v>
      </c>
      <c r="F18">
        <f t="shared" si="0"/>
        <v>404571</v>
      </c>
      <c r="G18">
        <f t="shared" si="1"/>
        <v>4571</v>
      </c>
    </row>
    <row r="22" spans="3:7" x14ac:dyDescent="0.3">
      <c r="C22" t="s">
        <v>12</v>
      </c>
      <c r="E22">
        <v>3200</v>
      </c>
      <c r="F22">
        <f t="shared" si="0"/>
        <v>407297</v>
      </c>
      <c r="G22" t="s">
        <v>13</v>
      </c>
    </row>
    <row r="23" spans="3:7" x14ac:dyDescent="0.3">
      <c r="F23">
        <f t="shared" si="0"/>
        <v>404097</v>
      </c>
      <c r="G23">
        <f t="shared" si="1"/>
        <v>4097</v>
      </c>
    </row>
    <row r="24" spans="3:7" x14ac:dyDescent="0.3">
      <c r="F24">
        <f t="shared" si="0"/>
        <v>404097</v>
      </c>
      <c r="G24">
        <f t="shared" si="1"/>
        <v>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chodavadiya</dc:creator>
  <cp:lastModifiedBy>brijesh chodavadiya</cp:lastModifiedBy>
  <dcterms:created xsi:type="dcterms:W3CDTF">2023-11-25T14:50:59Z</dcterms:created>
  <dcterms:modified xsi:type="dcterms:W3CDTF">2023-12-04T14:18:13Z</dcterms:modified>
</cp:coreProperties>
</file>